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st1\CoOp\Runi\"/>
    </mc:Choice>
  </mc:AlternateContent>
  <xr:revisionPtr revIDLastSave="0" documentId="13_ncr:1_{E541F9B2-2498-42D7-B3A3-4A4DE90EB2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ment 3 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1" l="1"/>
  <c r="B58" i="1"/>
  <c r="B57" i="1"/>
  <c r="B56" i="1"/>
  <c r="B55" i="1"/>
  <c r="B54" i="1"/>
  <c r="B53" i="1"/>
  <c r="B52" i="1"/>
  <c r="B51" i="1"/>
</calcChain>
</file>

<file path=xl/sharedStrings.xml><?xml version="1.0" encoding="utf-8"?>
<sst xmlns="http://schemas.openxmlformats.org/spreadsheetml/2006/main" count="344" uniqueCount="201">
  <si>
    <t>Student ID</t>
  </si>
  <si>
    <t>Teammate IDs</t>
  </si>
  <si>
    <t>Team Name</t>
  </si>
  <si>
    <t>Estimated Grade
(from .md)</t>
  </si>
  <si>
    <t>TRUE/FALSE
Score</t>
  </si>
  <si>
    <t>Generated
Grade (/100)</t>
  </si>
  <si>
    <t>Self-Grade</t>
  </si>
  <si>
    <t>Weighted
Grade</t>
  </si>
  <si>
    <t>Assessment
Date</t>
  </si>
  <si>
    <t>Key Strengths</t>
  </si>
  <si>
    <t>Key Weaknesses</t>
  </si>
  <si>
    <t>38950</t>
  </si>
  <si>
    <t>38949, 38972, 38973</t>
  </si>
  <si>
    <t>The_Awesome_Foursome</t>
  </si>
  <si>
    <t>86%</t>
  </si>
  <si>
    <t>19/22 (86%)</t>
  </si>
  <si>
    <t> Complete PRD
 130 tests
 654 docstrings
 research notebook with plots
 cost analysis
 27 screenshots
 good git</t>
  </si>
  <si>
    <t> No pre-commit hooks
 could improve test coverage</t>
  </si>
  <si>
    <t>38951</t>
  </si>
  <si>
    <t>38952</t>
  </si>
  <si>
    <t>Agents2025-2026</t>
  </si>
  <si>
    <t>68%</t>
  </si>
  <si>
    <t>15/22 (68%)</t>
  </si>
  <si>
    <t> Good documentation (382 docstrings)
 FastAPI implementation
 decent git (29 commits)
 10 screenshots</t>
  </si>
  <si>
    <t> NO research
 NO cost analysis
 minimal testing (8 tests)
 no CI/CD
Please review the requirements and resubmit. Please review course materials and requirements
carefully before your next submission.</t>
  </si>
  <si>
    <t>38953</t>
  </si>
  <si>
    <t>38954</t>
  </si>
  <si>
    <t>38959, 38972</t>
  </si>
  <si>
    <t>LLM_Agents_Tom_Igor_Roie</t>
  </si>
  <si>
    <t>91%</t>
  </si>
  <si>
    <t>20/22 (91%)</t>
  </si>
  <si>
    <t>■ 144 tests
■ 413 docstrings
■ 3062-word README
■ complete prompt book
■ budget management
■ 14 screenshots
■ 55 commits
■</t>
  </si>
  <si>
    <t> No research component
 no pre-commit hooks
Keep up the good work! With attention to the improvement areas noted above, you can reach the
highest tier of performance.</t>
  </si>
  <si>
    <t>38955</t>
  </si>
  <si>
    <t>38974</t>
  </si>
  <si>
    <t>The_Sucsess</t>
  </si>
  <si>
    <t>64%</t>
  </si>
  <si>
    <t>14/22 (64%)</t>
  </si>
  <si>
    <t> Good documentation (368 docstrings)
 decent testing (33 tests)
 good git (23 commits)
 7 screenshots</t>
  </si>
  <si>
    <t> NO research
 NO cost analysis
 no architecture doc
 no CI/CD
Please review the requirements and resubmit. Please review course materials and requirements
carefully before your next submission.</t>
  </si>
  <si>
    <t>38956</t>
  </si>
  <si>
    <t>DUPLICATE</t>
  </si>
  <si>
    <t>DUPLICATE of 38955 - Good documentation, decent testing, good git</t>
  </si>
  <si>
    <t>NO research, NO cost analysis, no architecture doc</t>
  </si>
  <si>
    <t>38957</t>
  </si>
  <si>
    <t> DUPLICATE of 38955 - Good documentation
 decent testing
 good git</t>
  </si>
  <si>
    <t> NO research
 NO cost analysis
 no architecture doc
Please review the requirements and resubmit. Please review course materials and requirements
carefully before your next submission.</t>
  </si>
  <si>
    <t>38958</t>
  </si>
  <si>
    <t>38981</t>
  </si>
  <si>
    <t>103050</t>
  </si>
  <si>
    <t>95%</t>
  </si>
  <si>
    <t>21/22 (95%)</t>
  </si>
  <si>
    <t>■ HIGHEST SCORE! 500 tests
■ 1109 docstrings (96%)
■ 19
■ 411-word README
■ dual-interface
■ 3 CI/CD workflows
■ 28 screenshots
■ cost analysis
■</t>
  </si>
  <si>
    <t> No Jupyter notebook
 no pre-commit hooks
Keep up the good work! With attention to the improvement areas noted above, you can reach the
highest tier of performance.</t>
  </si>
  <si>
    <t>38959</t>
  </si>
  <si>
    <t>38954, 38972</t>
  </si>
  <si>
    <t>✓ 144 tests
✓ 413 docstrings
✓ 3062-word README
✓ complete prompt book
✓ budget management
✓ 14 screenshots
✓ 55 commits
■</t>
  </si>
  <si>
    <t> No research component
 no pre-commit hooks
Continue improving. Focus on the areas identified above to elevate your work to the next level.</t>
  </si>
  <si>
    <t>38960</t>
  </si>
  <si>
    <t>38970</t>
  </si>
  <si>
    <t>Group_6</t>
  </si>
  <si>
    <t>82%</t>
  </si>
  <si>
    <t>18/22 (82%)</t>
  </si>
  <si>
    <t>✓ 2 comprehensive Jupyter notebooks with plots/analysis
✓ 173 tests
✓ excellent documentation
✓ complete PRD
✓ cost analysis
✓ 16 screenshots
■</t>
  </si>
  <si>
    <t> No pre-commit hooks
 could improve CI/CD coverage
Continue improving. Focus on the areas identified above to elevate your work to the next level.</t>
  </si>
  <si>
    <t>38961</t>
  </si>
  <si>
    <t>38964, 38985</t>
  </si>
  <si>
    <t>The_Red_Team_Omry_Itamar</t>
  </si>
  <si>
    <t>27%</t>
  </si>
  <si>
    <t>6/22 (27%)</t>
  </si>
  <si>
    <t>Basic Flask implementation, 9 screenshots</t>
  </si>
  <si>
    <t>NO tests, NO research, NO architecture docs, minimal documentation (5 docstrings), poor security, weak git</t>
  </si>
  <si>
    <t>38962</t>
  </si>
  <si>
    <t>38963, 38990</t>
  </si>
  <si>
    <t>Oren_Danielle</t>
  </si>
  <si>
    <t>50%</t>
  </si>
  <si>
    <t>11/22 (50%)</t>
  </si>
  <si>
    <t>Basic FastAPI implementation, 11 screenshots, decent README structure</t>
  </si>
  <si>
    <t>NO tests, NO research, NO cost analysis, minimal documentation (38 docstrings)</t>
  </si>
  <si>
    <t>38963</t>
  </si>
  <si>
    <t> Basic FastAPI implementation
 11 screenshots
 decent README structure</t>
  </si>
  <si>
    <t> NO tests
 NO research
 NO cost analysis
 minimal documentation (38 docstrings)
 weak git (4 commits)
Please review the requirements and resubmit. Please review course materials and requirements
carefully before your next submission.</t>
  </si>
  <si>
    <t>38964</t>
  </si>
  <si>
    <t>Has basic Flask implementation with 9 screenshots</t>
  </si>
  <si>
    <t>NO tests, NO research, NO architecture docs, minimal documentation (5 docstrings), poor security (secrets exposed), weak git (4 commits)</t>
  </si>
  <si>
    <t>38965</t>
  </si>
  <si>
    <t>38966, 38967</t>
  </si>
  <si>
    <t>A_Star_Is_Born</t>
  </si>
  <si>
    <t>Good documentation (272 docstrings), 13 screenshots, decent README (1866 words)</t>
  </si>
  <si>
    <t>NO research, NO cost analysis, minimal testing (12 tests), weak git</t>
  </si>
  <si>
    <t>38966</t>
  </si>
  <si>
    <t>38965, 38967</t>
  </si>
  <si>
    <t> Good documentation (272 docstrings)
 13 screenshots
 decent README (1866 words)</t>
  </si>
  <si>
    <t> NO research
 NO cost analysis
 minimal testing (12 tests)
 weak git (7 commits)
Please review the requirements and resubmit. Please review course materials and requirements
carefully before your next submission.</t>
  </si>
  <si>
    <t>38967</t>
  </si>
  <si>
    <t>38965, 38966</t>
  </si>
  <si>
    <t>DUPLICATE of 38966 - Good documentation, 13 screenshots</t>
  </si>
  <si>
    <t>NO research, NO cost analysis, minimal testing</t>
  </si>
  <si>
    <t>38968</t>
  </si>
  <si>
    <t>38982, 38993</t>
  </si>
  <si>
    <t>30af9fe9-f034-4e99-972f-319b8171fb1d</t>
  </si>
  <si>
    <t>Has Jupyter notebook with plots (rare!), 3 ADRs, good git with 4 feature branches, 259 docstrings</t>
  </si>
  <si>
    <t>No cost analysis, minimal testing (23 tests), no CI/CD</t>
  </si>
  <si>
    <t>38969</t>
  </si>
  <si>
    <t>38971</t>
  </si>
  <si>
    <t>BENSALMON</t>
  </si>
  <si>
    <t>73%</t>
  </si>
  <si>
    <t>16/22 (73%)</t>
  </si>
  <si>
    <t> Strong testing (212 tests
 93% coverage)
 441 docstrings
 6029-word README
 21 screenshots
 good git (33 commits)</t>
  </si>
  <si>
    <t> No PRD
 no research
 no cost analysis
 no pre-commit hooks</t>
  </si>
  <si>
    <t>✓ DUPLICATE of 38960 - 2 Jupyter notebooks
✓ 173 tests
✓ excellent documentation
■</t>
  </si>
  <si>
    <t> No pre-commit hooks
 could improve CI/CD
Continue improving. Focus on the areas identified above to elevate your work to the next level.</t>
  </si>
  <si>
    <t> DUPLICATE of 38969 - 212 tests (93% coverage)
 441 docstrings
 6029-word README</t>
  </si>
  <si>
    <t> No PRD
 no research
 no cost analysis</t>
  </si>
  <si>
    <t>38972</t>
  </si>
  <si>
    <t>38949, 38950, 38953, 38954, 38959</t>
  </si>
  <si>
    <t>The_Awesome_Foursome / LLM_Agents</t>
  </si>
  <si>
    <t>DUPLICATE of 38953 - Complete PRD, 130 tests, research notebook, cost analysis</t>
  </si>
  <si>
    <t>No pre-commit hooks</t>
  </si>
  <si>
    <t>38973</t>
  </si>
  <si>
    <t>✓ DUPLICATE of 38953 - Complete PRD
✓ 130 tests
✓ 654 docstrings
✓ research notebook
✓ cost analysis
✓ 27 screenshots
■</t>
  </si>
  <si>
    <t> No pre-commit hooks
 could improve test coverage
Continue improving. Focus on the areas identified above to elevate your work to the next level.</t>
  </si>
  <si>
    <t>38955, 38956, 38957</t>
  </si>
  <si>
    <t>Good documentation (368 docstrings), decent testing (33 tests), good git (23 commits)</t>
  </si>
  <si>
    <t>NO research, NO cost analysis, no architecture doc, no CI/CD</t>
  </si>
  <si>
    <t>38975</t>
  </si>
  <si>
    <t>38976, 38977, 38986, 38992</t>
  </si>
  <si>
    <t>The_Surfers</t>
  </si>
  <si>
    <t>59%</t>
  </si>
  <si>
    <t>13/22 (59%)</t>
  </si>
  <si>
    <t>Perfect docstring coverage (160/160 = 100%), good security, decent git (22 commits)</t>
  </si>
  <si>
    <t>NO research, NO cost analysis, minimal testing (21 tests), no architecture doc</t>
  </si>
  <si>
    <t>38976</t>
  </si>
  <si>
    <t>38975, 38977, 38986, 38992</t>
  </si>
  <si>
    <t>DUPLICATE of 38986 - Perfect docstring coverage (100%), good security</t>
  </si>
  <si>
    <t>38977</t>
  </si>
  <si>
    <t>38975, 38976</t>
  </si>
  <si>
    <t> DUPLICATE of 38986 - Perfect docstring coverage (160/160)
 good security
 decent git history (22 commits)</t>
  </si>
  <si>
    <t> NO research
 NO cost analysis
 minimal testing (21 tests)
 no architecture doc
Please review the requirements and resubmit. Please review course materials and requirements
carefully before your next submission.</t>
  </si>
  <si>
    <t>38978</t>
  </si>
  <si>
    <t>38979, 38980</t>
  </si>
  <si>
    <t>almog_or</t>
  </si>
  <si>
    <t>10 Jupyter notebooks (exceptional research!), strong testing (91 tests), excellent documentation, comprehensive PRD</t>
  </si>
  <si>
    <t>No cost analysis, no pre-commit hooks</t>
  </si>
  <si>
    <t>38979</t>
  </si>
  <si>
    <t>✓ 10 Jupyter notebooks (exceptional research!)
✓ strong testing (91 tests)
✓ excellent documentation
✓ comprehensive PRD
■</t>
  </si>
  <si>
    <t> No cost analysis
 no pre-commit hooks
Continue improving. Focus on the areas identified above to elevate your work to the next level.</t>
  </si>
  <si>
    <t>38980</t>
  </si>
  <si>
    <t>✓ DUPLICATE of 38979 - 10 Jupyter notebooks
✓ 91 tests
✓ excellent documentation
■</t>
  </si>
  <si>
    <t>■ HIGHEST SCORE! 500 tests
■ 1109 docstrings (96%)
■ 19
■ 411-word README
■ dual-interface (Streamlit+Flask)
■ 3 CI/CD workflows
■ 28 screenshots
■ complete cost analysis
■</t>
  </si>
  <si>
    <t> No Jupyter notebook (only gap)
 no pre-commit hooks
■ Keep up the amazing work! This submission demonstrates mastery of software engineering
principles and would be competitive in a professional setting. ■</t>
  </si>
  <si>
    <t>38982</t>
  </si>
  <si>
    <t> Has Jupyter notebook with plots (rare!)
 3 ADRs
 good git with 4 feature branches
 259 docstrings
 complete prompt book</t>
  </si>
  <si>
    <t> No cost analysis
 minimal testing (23 tests)
 no CI/CD
Please review the requirements and resubmit. Please review course materials and requirements
carefully before your next submission.</t>
  </si>
  <si>
    <t>38983</t>
  </si>
  <si>
    <t>38984</t>
  </si>
  <si>
    <t>Yossi-Yeuda-chat-bot</t>
  </si>
  <si>
    <t>45%</t>
  </si>
  <si>
    <t>10/22 (45%)</t>
  </si>
  <si>
    <t>Basic implementation with 11 screenshots, some documentation (142 docstrings)</t>
  </si>
  <si>
    <t>NO research, NO cost analysis, NO tests, poor security, weak git</t>
  </si>
  <si>
    <t> Basic implementation with 11 screenshots
 some documentation (142 docstrings)</t>
  </si>
  <si>
    <t> NO research
 NO cost analysis
 NO tests
 poor security (hardcoded secrets)
 weak git (8 commits)
Please review the requirements and resubmit. Please review course materials and requirements
carefully before your next submission.</t>
  </si>
  <si>
    <t>38985</t>
  </si>
  <si>
    <t> DUPLICATE of 38964 - Basic Flask implementation
 9 screenshots</t>
  </si>
  <si>
    <t> NO tests
 NO research
 NO architecture docs
 minimal documentation
Please review the requirements and resubmit. Please review course materials and requirements
carefully before your next submission.</t>
  </si>
  <si>
    <t>38986</t>
  </si>
  <si>
    <t> Perfect docstring coverage (160/160 = 100%)
 good security
 decent git (22 commits)
 7 screenshots</t>
  </si>
  <si>
    <t>38988</t>
  </si>
  <si>
    <t> DUPLICATE of 38953 - Complete PRD
 130 tests
 654 docstrings
 research notebook
 cost analysis</t>
  </si>
  <si>
    <t>38989</t>
  </si>
  <si>
    <t>38990</t>
  </si>
  <si>
    <t> DUPLICATE of 38963 - Basic FastAPI implementation
 11 screenshots</t>
  </si>
  <si>
    <t> NO tests
 NO research
 NO cost analysis
 minimal documentation
Please review the requirements and resubmit. Please review course materials and requirements
carefully before your next submission.</t>
  </si>
  <si>
    <t>38992</t>
  </si>
  <si>
    <t> DUPLICATE of 38986 - Perfect docstring coverage (160/160)
 good security
 decent git</t>
  </si>
  <si>
    <t> NO research
 NO cost analysis
 minimal testing (21 tests)
Please review the requirements and resubmit. Please review course materials and requirements
carefully before your next submission.</t>
  </si>
  <si>
    <t>38993</t>
  </si>
  <si>
    <t> DUPLICATE of 38982 - Has Jupyter notebook with plots
 3 ADRs
 good git with feature branches</t>
  </si>
  <si>
    <t> No cost analysis
 minimal testing
 no CI/CD
Please review the requirements and resubmit. Please review course materials and requirements
carefully before your next submission.</t>
  </si>
  <si>
    <t>59373</t>
  </si>
  <si>
    <t> DUPLICATE of 38952 - Good documentation (382 docstrings)
 FastAPI implementation
 29 commits</t>
  </si>
  <si>
    <t> NO research
 NO cost analysis
 minimal testing (8 tests)
Please review the requirements and resubmit. Please review course materials and requirements
carefully before your next submission.</t>
  </si>
  <si>
    <t>59375</t>
  </si>
  <si>
    <t>✓ DUPLICATE of 38959 - 144 tests
✓ 413 docstrings
✓ complete prompt book
✓ budget management
✓ 14 screenshots
■</t>
  </si>
  <si>
    <t>59376</t>
  </si>
  <si>
    <t> DUPLICATE of 38969 - 212 tests (93% coverage)
 441 docstrings
 6029-word README
 21 screenshots</t>
  </si>
  <si>
    <t>59378</t>
  </si>
  <si>
    <t>■ DUPLICATE of 38981 - HIGHEST SCORE! 500 tests
■ 1109 docstrings
■ 19
■ 411-word README
■ dual-interface
■ 3 CI/CD workflows
■</t>
  </si>
  <si>
    <t> No Jupyter notebook
 no pre-commit hooks
■ Keep up the amazing work! This submission demonstrates mastery of software engineering
principles and would be competitive in a professional setting. ■</t>
  </si>
  <si>
    <t>SUMMARY STATISTICS</t>
  </si>
  <si>
    <t>Total Students:</t>
  </si>
  <si>
    <t>Average Grade:</t>
  </si>
  <si>
    <t>Highest Grade:</t>
  </si>
  <si>
    <t>Lowest Grade:</t>
  </si>
  <si>
    <t>Pass Rate (&gt;=60):</t>
  </si>
  <si>
    <t>A Grades (&gt;=90):</t>
  </si>
  <si>
    <t>B Grades (80-89):</t>
  </si>
  <si>
    <t>C Grades (70-79):</t>
  </si>
  <si>
    <t>D Grades (60-69):</t>
  </si>
  <si>
    <t>F Grades (&lt;60):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</si>
</sst>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0B4"/>
        <bgColor rgb="FFC6E0B4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6B6B"/>
        <bgColor rgb="FFFF6B6B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/>
    <xf numFmtId="2" fontId="0" fillId="0" borderId="0" xfId="0" applyNumberFormat="1"/>
    <xf numFmtId="1" fontId="0" fillId="0" borderId="0" xfId="0" applyNumberFormat="1"/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topLeftCell="E1" workbookViewId="0">
      <pane ySplit="1" topLeftCell="A13" activePane="bottomLeft" state="frozen"/>
      <selection pane="bottomLeft" activeCell="K2" sqref="K2"/>
    </sheetView>
  </sheetViews>
  <sheetFormatPr defaultRowHeight="14.4" x14ac:dyDescent="0.3"/>
  <cols>
    <col min="1" max="1" width="12" customWidth="1"/>
    <col min="2" max="2" width="15" customWidth="1"/>
    <col min="3" max="3" width="25" customWidth="1"/>
    <col min="4" max="8" width="12" customWidth="1"/>
    <col min="9" max="10" width="50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0.8" x14ac:dyDescent="0.3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4">
        <v>87</v>
      </c>
      <c r="G2" s="5">
        <v>100</v>
      </c>
      <c r="H2" s="13">
        <v>69.45</v>
      </c>
      <c r="I2" s="5"/>
      <c r="J2" s="3" t="s">
        <v>16</v>
      </c>
      <c r="K2" s="3" t="s">
        <v>17</v>
      </c>
    </row>
    <row r="3" spans="1:11" ht="403.2" x14ac:dyDescent="0.3">
      <c r="A3" s="2" t="s">
        <v>18</v>
      </c>
      <c r="B3" s="2" t="s">
        <v>19</v>
      </c>
      <c r="C3" s="3" t="s">
        <v>20</v>
      </c>
      <c r="D3" s="2" t="s">
        <v>21</v>
      </c>
      <c r="E3" s="2" t="s">
        <v>22</v>
      </c>
      <c r="F3" s="6">
        <v>68</v>
      </c>
      <c r="G3" s="5">
        <v>95</v>
      </c>
      <c r="H3" s="14">
        <v>36.229999999999997</v>
      </c>
      <c r="I3" s="5"/>
      <c r="J3" s="3" t="s">
        <v>23</v>
      </c>
      <c r="K3" s="3" t="s">
        <v>24</v>
      </c>
    </row>
    <row r="4" spans="1:11" ht="403.2" x14ac:dyDescent="0.3">
      <c r="A4" s="2" t="s">
        <v>19</v>
      </c>
      <c r="B4" s="2" t="s">
        <v>18</v>
      </c>
      <c r="C4" s="3" t="s">
        <v>20</v>
      </c>
      <c r="D4" s="2" t="s">
        <v>21</v>
      </c>
      <c r="E4" s="2" t="s">
        <v>22</v>
      </c>
      <c r="F4" s="6">
        <v>68</v>
      </c>
      <c r="G4" s="5">
        <v>88</v>
      </c>
      <c r="H4" s="14">
        <v>48.58</v>
      </c>
      <c r="I4" s="5"/>
      <c r="J4" s="3" t="s">
        <v>23</v>
      </c>
      <c r="K4" s="3" t="s">
        <v>24</v>
      </c>
    </row>
    <row r="5" spans="1:11" ht="100.8" x14ac:dyDescent="0.3">
      <c r="A5" s="2" t="s">
        <v>25</v>
      </c>
      <c r="B5" s="2" t="s">
        <v>12</v>
      </c>
      <c r="C5" s="3" t="s">
        <v>13</v>
      </c>
      <c r="D5" s="2" t="s">
        <v>14</v>
      </c>
      <c r="E5" s="2" t="s">
        <v>15</v>
      </c>
      <c r="F5" s="4">
        <v>87</v>
      </c>
      <c r="G5" s="5">
        <v>100</v>
      </c>
      <c r="H5" s="13">
        <v>69.45</v>
      </c>
      <c r="I5" s="5"/>
      <c r="J5" s="3" t="s">
        <v>16</v>
      </c>
      <c r="K5" s="3" t="s">
        <v>17</v>
      </c>
    </row>
    <row r="6" spans="1:11" ht="345.6" x14ac:dyDescent="0.3">
      <c r="A6" s="2" t="s">
        <v>26</v>
      </c>
      <c r="B6" s="2" t="s">
        <v>27</v>
      </c>
      <c r="C6" s="3" t="s">
        <v>28</v>
      </c>
      <c r="D6" s="2" t="s">
        <v>29</v>
      </c>
      <c r="E6" s="2" t="s">
        <v>30</v>
      </c>
      <c r="F6" s="4">
        <v>86</v>
      </c>
      <c r="G6" s="5">
        <v>89</v>
      </c>
      <c r="H6" s="15">
        <v>83.01</v>
      </c>
      <c r="I6" s="5"/>
      <c r="J6" s="3" t="s">
        <v>31</v>
      </c>
      <c r="K6" s="3" t="s">
        <v>32</v>
      </c>
    </row>
    <row r="7" spans="1:11" ht="403.2" x14ac:dyDescent="0.3">
      <c r="A7" s="2" t="s">
        <v>33</v>
      </c>
      <c r="B7" s="2" t="s">
        <v>34</v>
      </c>
      <c r="C7" s="3" t="s">
        <v>35</v>
      </c>
      <c r="D7" s="2" t="s">
        <v>36</v>
      </c>
      <c r="E7" s="2" t="s">
        <v>37</v>
      </c>
      <c r="F7" s="6">
        <v>67</v>
      </c>
      <c r="G7" s="5">
        <v>95</v>
      </c>
      <c r="H7" s="14">
        <v>34.049999999999997</v>
      </c>
      <c r="I7" s="5"/>
      <c r="J7" s="3" t="s">
        <v>38</v>
      </c>
      <c r="K7" s="3" t="s">
        <v>39</v>
      </c>
    </row>
    <row r="8" spans="1:11" ht="100.8" x14ac:dyDescent="0.3">
      <c r="A8" s="2" t="s">
        <v>40</v>
      </c>
      <c r="B8" s="2" t="s">
        <v>34</v>
      </c>
      <c r="C8" s="3" t="s">
        <v>35</v>
      </c>
      <c r="D8" s="2" t="s">
        <v>41</v>
      </c>
      <c r="E8" s="2" t="s">
        <v>37</v>
      </c>
      <c r="F8" s="6">
        <v>67</v>
      </c>
      <c r="G8" s="5">
        <v>67</v>
      </c>
      <c r="H8" s="13">
        <v>67</v>
      </c>
      <c r="I8" s="5"/>
      <c r="J8" s="3" t="s">
        <v>42</v>
      </c>
      <c r="K8" s="3" t="s">
        <v>43</v>
      </c>
    </row>
    <row r="9" spans="1:11" ht="374.4" x14ac:dyDescent="0.3">
      <c r="A9" s="2" t="s">
        <v>44</v>
      </c>
      <c r="B9" s="2" t="s">
        <v>34</v>
      </c>
      <c r="C9" s="3" t="s">
        <v>35</v>
      </c>
      <c r="D9" s="2" t="s">
        <v>41</v>
      </c>
      <c r="E9" s="2" t="s">
        <v>37</v>
      </c>
      <c r="F9" s="6">
        <v>67</v>
      </c>
      <c r="G9" s="5">
        <v>95</v>
      </c>
      <c r="H9" s="14">
        <v>34.049999999999997</v>
      </c>
      <c r="I9" s="5"/>
      <c r="J9" s="3" t="s">
        <v>45</v>
      </c>
      <c r="K9" s="3" t="s">
        <v>46</v>
      </c>
    </row>
    <row r="10" spans="1:11" ht="331.2" x14ac:dyDescent="0.3">
      <c r="A10" s="2" t="s">
        <v>47</v>
      </c>
      <c r="B10" s="2" t="s">
        <v>48</v>
      </c>
      <c r="C10" s="3" t="s">
        <v>49</v>
      </c>
      <c r="D10" s="2" t="s">
        <v>50</v>
      </c>
      <c r="E10" s="2" t="s">
        <v>51</v>
      </c>
      <c r="F10" s="7">
        <v>94</v>
      </c>
      <c r="G10" s="5">
        <v>100</v>
      </c>
      <c r="H10" s="15">
        <v>85.9</v>
      </c>
      <c r="I10" s="5"/>
      <c r="J10" s="3" t="s">
        <v>52</v>
      </c>
      <c r="K10" s="3" t="s">
        <v>53</v>
      </c>
    </row>
    <row r="11" spans="1:11" ht="273.60000000000002" x14ac:dyDescent="0.3">
      <c r="A11" s="2" t="s">
        <v>54</v>
      </c>
      <c r="B11" s="2" t="s">
        <v>55</v>
      </c>
      <c r="C11" s="3" t="s">
        <v>28</v>
      </c>
      <c r="D11" s="2" t="s">
        <v>29</v>
      </c>
      <c r="E11" s="2" t="s">
        <v>30</v>
      </c>
      <c r="F11" s="4">
        <v>86</v>
      </c>
      <c r="G11" s="5">
        <v>92</v>
      </c>
      <c r="H11" s="16">
        <v>79.5</v>
      </c>
      <c r="I11" s="5"/>
      <c r="J11" s="3" t="s">
        <v>56</v>
      </c>
      <c r="K11" s="3" t="s">
        <v>57</v>
      </c>
    </row>
    <row r="12" spans="1:11" ht="273.60000000000002" x14ac:dyDescent="0.3">
      <c r="A12" s="2" t="s">
        <v>58</v>
      </c>
      <c r="B12" s="2" t="s">
        <v>59</v>
      </c>
      <c r="C12" s="3" t="s">
        <v>60</v>
      </c>
      <c r="D12" s="2" t="s">
        <v>61</v>
      </c>
      <c r="E12" s="2" t="s">
        <v>62</v>
      </c>
      <c r="F12" s="4">
        <v>89</v>
      </c>
      <c r="G12" s="5">
        <v>100</v>
      </c>
      <c r="H12" s="16">
        <v>74.150000000000006</v>
      </c>
      <c r="I12" s="5"/>
      <c r="J12" s="3" t="s">
        <v>63</v>
      </c>
      <c r="K12" s="3" t="s">
        <v>64</v>
      </c>
    </row>
    <row r="13" spans="1:11" ht="187.2" x14ac:dyDescent="0.3">
      <c r="A13" s="2" t="s">
        <v>65</v>
      </c>
      <c r="B13" s="2" t="s">
        <v>66</v>
      </c>
      <c r="C13" s="3" t="s">
        <v>67</v>
      </c>
      <c r="D13" s="2" t="s">
        <v>68</v>
      </c>
      <c r="E13" s="2" t="s">
        <v>69</v>
      </c>
      <c r="F13" s="8">
        <v>44</v>
      </c>
      <c r="G13" s="5">
        <v>92</v>
      </c>
      <c r="H13" s="14">
        <v>0</v>
      </c>
      <c r="I13" s="5"/>
      <c r="J13" s="3" t="s">
        <v>70</v>
      </c>
      <c r="K13" s="3" t="s">
        <v>71</v>
      </c>
    </row>
    <row r="14" spans="1:11" ht="144" x14ac:dyDescent="0.3">
      <c r="A14" s="2" t="s">
        <v>72</v>
      </c>
      <c r="B14" s="2" t="s">
        <v>73</v>
      </c>
      <c r="C14" s="3" t="s">
        <v>74</v>
      </c>
      <c r="D14" s="2" t="s">
        <v>75</v>
      </c>
      <c r="E14" s="2" t="s">
        <v>76</v>
      </c>
      <c r="F14" s="8">
        <v>55</v>
      </c>
      <c r="G14" s="5">
        <v>100</v>
      </c>
      <c r="H14" s="14">
        <v>0</v>
      </c>
      <c r="I14" s="5"/>
      <c r="J14" s="3" t="s">
        <v>77</v>
      </c>
      <c r="K14" s="3" t="s">
        <v>78</v>
      </c>
    </row>
    <row r="15" spans="1:11" ht="409.6" x14ac:dyDescent="0.3">
      <c r="A15" s="2" t="s">
        <v>79</v>
      </c>
      <c r="B15" s="2" t="s">
        <v>72</v>
      </c>
      <c r="C15" s="3" t="s">
        <v>74</v>
      </c>
      <c r="D15" s="2" t="s">
        <v>75</v>
      </c>
      <c r="E15" s="2" t="s">
        <v>76</v>
      </c>
      <c r="F15" s="8">
        <v>55</v>
      </c>
      <c r="G15" s="5">
        <v>90</v>
      </c>
      <c r="H15" s="14">
        <v>19.100000000000001</v>
      </c>
      <c r="I15" s="5"/>
      <c r="J15" s="3" t="s">
        <v>80</v>
      </c>
      <c r="K15" s="3" t="s">
        <v>81</v>
      </c>
    </row>
    <row r="16" spans="1:11" ht="244.8" x14ac:dyDescent="0.3">
      <c r="A16" s="2" t="s">
        <v>82</v>
      </c>
      <c r="B16" s="2" t="s">
        <v>65</v>
      </c>
      <c r="C16" s="3" t="s">
        <v>67</v>
      </c>
      <c r="D16" s="2" t="s">
        <v>68</v>
      </c>
      <c r="E16" s="2" t="s">
        <v>69</v>
      </c>
      <c r="F16" s="8">
        <v>44</v>
      </c>
      <c r="G16" s="5">
        <v>89</v>
      </c>
      <c r="H16" s="14">
        <v>0</v>
      </c>
      <c r="I16" s="5"/>
      <c r="J16" s="3" t="s">
        <v>83</v>
      </c>
      <c r="K16" s="3" t="s">
        <v>84</v>
      </c>
    </row>
    <row r="17" spans="1:11" ht="115.2" x14ac:dyDescent="0.3">
      <c r="A17" s="2" t="s">
        <v>85</v>
      </c>
      <c r="B17" s="2" t="s">
        <v>86</v>
      </c>
      <c r="C17" s="3" t="s">
        <v>87</v>
      </c>
      <c r="D17" s="2" t="s">
        <v>36</v>
      </c>
      <c r="E17" s="2" t="s">
        <v>37</v>
      </c>
      <c r="F17" s="6">
        <v>66</v>
      </c>
      <c r="G17" s="5">
        <v>66</v>
      </c>
      <c r="H17" s="13">
        <v>66</v>
      </c>
      <c r="I17" s="5"/>
      <c r="J17" s="3" t="s">
        <v>88</v>
      </c>
      <c r="K17" s="3" t="s">
        <v>89</v>
      </c>
    </row>
    <row r="18" spans="1:11" ht="409.6" x14ac:dyDescent="0.3">
      <c r="A18" s="2" t="s">
        <v>90</v>
      </c>
      <c r="B18" s="2" t="s">
        <v>91</v>
      </c>
      <c r="C18" s="3" t="s">
        <v>87</v>
      </c>
      <c r="D18" s="2" t="s">
        <v>36</v>
      </c>
      <c r="E18" s="2" t="s">
        <v>37</v>
      </c>
      <c r="F18" s="6">
        <v>66</v>
      </c>
      <c r="G18" s="5">
        <v>79</v>
      </c>
      <c r="H18" s="14">
        <v>56.14</v>
      </c>
      <c r="I18" s="5"/>
      <c r="J18" s="3" t="s">
        <v>92</v>
      </c>
      <c r="K18" s="3" t="s">
        <v>93</v>
      </c>
    </row>
    <row r="19" spans="1:11" ht="86.4" x14ac:dyDescent="0.3">
      <c r="A19" s="2" t="s">
        <v>94</v>
      </c>
      <c r="B19" s="2" t="s">
        <v>95</v>
      </c>
      <c r="C19" s="3" t="s">
        <v>87</v>
      </c>
      <c r="D19" s="2" t="s">
        <v>41</v>
      </c>
      <c r="E19" s="2" t="s">
        <v>37</v>
      </c>
      <c r="F19" s="6">
        <v>66</v>
      </c>
      <c r="G19" s="5">
        <v>66</v>
      </c>
      <c r="H19" s="13">
        <v>66</v>
      </c>
      <c r="I19" s="5"/>
      <c r="J19" s="3" t="s">
        <v>96</v>
      </c>
      <c r="K19" s="3" t="s">
        <v>97</v>
      </c>
    </row>
    <row r="20" spans="1:11" ht="86.4" x14ac:dyDescent="0.3">
      <c r="A20" s="2" t="s">
        <v>98</v>
      </c>
      <c r="B20" s="2" t="s">
        <v>99</v>
      </c>
      <c r="C20" s="3" t="s">
        <v>100</v>
      </c>
      <c r="D20" s="2" t="s">
        <v>21</v>
      </c>
      <c r="E20" s="2" t="s">
        <v>22</v>
      </c>
      <c r="F20" s="9">
        <v>71</v>
      </c>
      <c r="G20" s="5">
        <v>71</v>
      </c>
      <c r="H20" s="16">
        <v>71</v>
      </c>
      <c r="I20" s="5"/>
      <c r="J20" s="3" t="s">
        <v>101</v>
      </c>
      <c r="K20" s="3" t="s">
        <v>102</v>
      </c>
    </row>
    <row r="21" spans="1:11" ht="115.2" x14ac:dyDescent="0.3">
      <c r="A21" s="2" t="s">
        <v>103</v>
      </c>
      <c r="B21" s="2" t="s">
        <v>104</v>
      </c>
      <c r="C21" s="3" t="s">
        <v>105</v>
      </c>
      <c r="D21" s="2" t="s">
        <v>106</v>
      </c>
      <c r="E21" s="2" t="s">
        <v>107</v>
      </c>
      <c r="F21" s="4">
        <v>82</v>
      </c>
      <c r="G21" s="5">
        <v>95</v>
      </c>
      <c r="H21" s="13">
        <v>66.7</v>
      </c>
      <c r="I21" s="5"/>
      <c r="J21" s="3" t="s">
        <v>108</v>
      </c>
      <c r="K21" s="3" t="s">
        <v>109</v>
      </c>
    </row>
    <row r="22" spans="1:11" ht="259.2" x14ac:dyDescent="0.3">
      <c r="A22" s="2" t="s">
        <v>59</v>
      </c>
      <c r="B22" s="2" t="s">
        <v>58</v>
      </c>
      <c r="C22" s="3" t="s">
        <v>60</v>
      </c>
      <c r="D22" s="2" t="s">
        <v>41</v>
      </c>
      <c r="E22" s="2" t="s">
        <v>62</v>
      </c>
      <c r="F22" s="4">
        <v>89</v>
      </c>
      <c r="G22" s="5">
        <v>100</v>
      </c>
      <c r="H22" s="16">
        <v>74.150000000000006</v>
      </c>
      <c r="I22" s="5"/>
      <c r="J22" s="3" t="s">
        <v>110</v>
      </c>
      <c r="K22" s="3" t="s">
        <v>111</v>
      </c>
    </row>
    <row r="23" spans="1:11" ht="72" x14ac:dyDescent="0.3">
      <c r="A23" s="2" t="s">
        <v>104</v>
      </c>
      <c r="B23" s="2" t="s">
        <v>103</v>
      </c>
      <c r="C23" s="3" t="s">
        <v>105</v>
      </c>
      <c r="D23" s="2" t="s">
        <v>41</v>
      </c>
      <c r="E23" s="2" t="s">
        <v>107</v>
      </c>
      <c r="F23" s="4">
        <v>82</v>
      </c>
      <c r="G23" s="5">
        <v>95</v>
      </c>
      <c r="H23" s="13">
        <v>66.7</v>
      </c>
      <c r="I23" s="5"/>
      <c r="J23" s="3" t="s">
        <v>112</v>
      </c>
      <c r="K23" s="3" t="s">
        <v>113</v>
      </c>
    </row>
    <row r="24" spans="1:11" ht="43.2" x14ac:dyDescent="0.3">
      <c r="A24" s="2" t="s">
        <v>114</v>
      </c>
      <c r="B24" s="2" t="s">
        <v>115</v>
      </c>
      <c r="C24" s="3" t="s">
        <v>116</v>
      </c>
      <c r="D24" s="2" t="s">
        <v>41</v>
      </c>
      <c r="E24" s="2" t="s">
        <v>15</v>
      </c>
      <c r="F24" s="4">
        <v>87</v>
      </c>
      <c r="G24" s="5">
        <v>87</v>
      </c>
      <c r="H24" s="15">
        <v>87</v>
      </c>
      <c r="I24" s="5"/>
      <c r="J24" s="3" t="s">
        <v>117</v>
      </c>
      <c r="K24" s="3" t="s">
        <v>118</v>
      </c>
    </row>
    <row r="25" spans="1:11" ht="273.60000000000002" x14ac:dyDescent="0.3">
      <c r="A25" s="2" t="s">
        <v>119</v>
      </c>
      <c r="B25" s="2" t="s">
        <v>11</v>
      </c>
      <c r="C25" s="3" t="s">
        <v>13</v>
      </c>
      <c r="D25" s="2" t="s">
        <v>41</v>
      </c>
      <c r="E25" s="2" t="s">
        <v>15</v>
      </c>
      <c r="F25" s="4">
        <v>87</v>
      </c>
      <c r="G25" s="5">
        <v>95</v>
      </c>
      <c r="H25" s="16">
        <v>77.59</v>
      </c>
      <c r="I25" s="5"/>
      <c r="J25" s="3" t="s">
        <v>120</v>
      </c>
      <c r="K25" s="3" t="s">
        <v>121</v>
      </c>
    </row>
    <row r="26" spans="1:11" ht="115.2" x14ac:dyDescent="0.3">
      <c r="A26" s="2" t="s">
        <v>34</v>
      </c>
      <c r="B26" s="2" t="s">
        <v>122</v>
      </c>
      <c r="C26" s="3" t="s">
        <v>35</v>
      </c>
      <c r="D26" s="2" t="s">
        <v>36</v>
      </c>
      <c r="E26" s="2" t="s">
        <v>37</v>
      </c>
      <c r="F26" s="6">
        <v>67</v>
      </c>
      <c r="G26" s="5">
        <v>67</v>
      </c>
      <c r="H26" s="13">
        <v>67</v>
      </c>
      <c r="I26" s="5"/>
      <c r="J26" s="3" t="s">
        <v>123</v>
      </c>
      <c r="K26" s="3" t="s">
        <v>124</v>
      </c>
    </row>
    <row r="27" spans="1:11" ht="144" x14ac:dyDescent="0.3">
      <c r="A27" s="2" t="s">
        <v>125</v>
      </c>
      <c r="B27" s="2" t="s">
        <v>126</v>
      </c>
      <c r="C27" s="3" t="s">
        <v>127</v>
      </c>
      <c r="D27" s="2" t="s">
        <v>128</v>
      </c>
      <c r="E27" s="2" t="s">
        <v>129</v>
      </c>
      <c r="F27" s="6">
        <v>60</v>
      </c>
      <c r="G27" s="5">
        <v>60</v>
      </c>
      <c r="H27" s="13">
        <v>60</v>
      </c>
      <c r="I27" s="5"/>
      <c r="J27" s="3" t="s">
        <v>130</v>
      </c>
      <c r="K27" s="3" t="s">
        <v>131</v>
      </c>
    </row>
    <row r="28" spans="1:11" ht="86.4" x14ac:dyDescent="0.3">
      <c r="A28" s="2" t="s">
        <v>132</v>
      </c>
      <c r="B28" s="2" t="s">
        <v>133</v>
      </c>
      <c r="C28" s="3" t="s">
        <v>127</v>
      </c>
      <c r="D28" s="2" t="s">
        <v>41</v>
      </c>
      <c r="E28" s="2" t="s">
        <v>129</v>
      </c>
      <c r="F28" s="6">
        <v>60</v>
      </c>
      <c r="G28" s="5">
        <v>60</v>
      </c>
      <c r="H28" s="13">
        <v>60</v>
      </c>
      <c r="I28" s="5"/>
      <c r="J28" s="3" t="s">
        <v>134</v>
      </c>
      <c r="K28" s="3" t="s">
        <v>97</v>
      </c>
    </row>
    <row r="29" spans="1:11" ht="409.6" x14ac:dyDescent="0.3">
      <c r="A29" s="2" t="s">
        <v>135</v>
      </c>
      <c r="B29" s="2" t="s">
        <v>136</v>
      </c>
      <c r="C29" s="3" t="s">
        <v>127</v>
      </c>
      <c r="D29" s="2" t="s">
        <v>41</v>
      </c>
      <c r="E29" s="2" t="s">
        <v>129</v>
      </c>
      <c r="F29" s="6">
        <v>60</v>
      </c>
      <c r="G29" s="5">
        <v>100</v>
      </c>
      <c r="H29" s="14">
        <v>6</v>
      </c>
      <c r="I29" s="5"/>
      <c r="J29" s="3" t="s">
        <v>137</v>
      </c>
      <c r="K29" s="3" t="s">
        <v>138</v>
      </c>
    </row>
    <row r="30" spans="1:11" ht="72" x14ac:dyDescent="0.3">
      <c r="A30" s="2" t="s">
        <v>139</v>
      </c>
      <c r="B30" s="2" t="s">
        <v>140</v>
      </c>
      <c r="C30" s="3" t="s">
        <v>141</v>
      </c>
      <c r="D30" s="2" t="s">
        <v>61</v>
      </c>
      <c r="E30" s="2" t="s">
        <v>62</v>
      </c>
      <c r="F30" s="4">
        <v>88</v>
      </c>
      <c r="G30" s="5">
        <v>88</v>
      </c>
      <c r="H30" s="15">
        <v>88</v>
      </c>
      <c r="I30" s="5"/>
      <c r="J30" s="3" t="s">
        <v>142</v>
      </c>
      <c r="K30" s="3" t="s">
        <v>143</v>
      </c>
    </row>
    <row r="31" spans="1:11" ht="244.8" x14ac:dyDescent="0.3">
      <c r="A31" s="2" t="s">
        <v>144</v>
      </c>
      <c r="B31" s="2" t="s">
        <v>139</v>
      </c>
      <c r="C31" s="3" t="s">
        <v>141</v>
      </c>
      <c r="D31" s="2" t="s">
        <v>61</v>
      </c>
      <c r="E31" s="2" t="s">
        <v>62</v>
      </c>
      <c r="F31" s="4">
        <v>88</v>
      </c>
      <c r="G31" s="5">
        <v>95</v>
      </c>
      <c r="H31" s="16">
        <v>79.760000000000005</v>
      </c>
      <c r="I31" s="5"/>
      <c r="J31" s="3" t="s">
        <v>145</v>
      </c>
      <c r="K31" s="3" t="s">
        <v>146</v>
      </c>
    </row>
    <row r="32" spans="1:11" ht="244.8" x14ac:dyDescent="0.3">
      <c r="A32" s="2" t="s">
        <v>147</v>
      </c>
      <c r="B32" s="2" t="s">
        <v>139</v>
      </c>
      <c r="C32" s="3" t="s">
        <v>141</v>
      </c>
      <c r="D32" s="2" t="s">
        <v>41</v>
      </c>
      <c r="E32" s="2" t="s">
        <v>62</v>
      </c>
      <c r="F32" s="4">
        <v>88</v>
      </c>
      <c r="G32" s="5">
        <v>95</v>
      </c>
      <c r="H32" s="16">
        <v>79.760000000000005</v>
      </c>
      <c r="I32" s="5"/>
      <c r="J32" s="3" t="s">
        <v>148</v>
      </c>
      <c r="K32" s="3" t="s">
        <v>146</v>
      </c>
    </row>
    <row r="33" spans="1:11" ht="409.6" x14ac:dyDescent="0.3">
      <c r="A33" s="2" t="s">
        <v>48</v>
      </c>
      <c r="B33" s="2" t="s">
        <v>47</v>
      </c>
      <c r="C33" s="3" t="s">
        <v>49</v>
      </c>
      <c r="D33" s="2" t="s">
        <v>50</v>
      </c>
      <c r="E33" s="2" t="s">
        <v>51</v>
      </c>
      <c r="F33" s="7">
        <v>94</v>
      </c>
      <c r="G33" s="5">
        <v>95</v>
      </c>
      <c r="H33" s="17">
        <v>92.82</v>
      </c>
      <c r="I33" s="5"/>
      <c r="J33" s="3" t="s">
        <v>149</v>
      </c>
      <c r="K33" s="3" t="s">
        <v>150</v>
      </c>
    </row>
    <row r="34" spans="1:11" ht="360" x14ac:dyDescent="0.3">
      <c r="A34" s="2" t="s">
        <v>151</v>
      </c>
      <c r="B34" s="2" t="s">
        <v>98</v>
      </c>
      <c r="C34" s="3" t="s">
        <v>100</v>
      </c>
      <c r="D34" s="2" t="s">
        <v>21</v>
      </c>
      <c r="E34" s="2" t="s">
        <v>22</v>
      </c>
      <c r="F34" s="9">
        <v>71</v>
      </c>
      <c r="G34" s="5">
        <v>96</v>
      </c>
      <c r="H34" s="14">
        <v>40.76</v>
      </c>
      <c r="I34" s="5"/>
      <c r="J34" s="3" t="s">
        <v>152</v>
      </c>
      <c r="K34" s="3" t="s">
        <v>153</v>
      </c>
    </row>
    <row r="35" spans="1:11" ht="115.2" x14ac:dyDescent="0.3">
      <c r="A35" s="2" t="s">
        <v>154</v>
      </c>
      <c r="B35" s="2" t="s">
        <v>155</v>
      </c>
      <c r="C35" s="3" t="s">
        <v>156</v>
      </c>
      <c r="D35" s="2" t="s">
        <v>157</v>
      </c>
      <c r="E35" s="2" t="s">
        <v>158</v>
      </c>
      <c r="F35" s="8">
        <v>55</v>
      </c>
      <c r="G35" s="5">
        <v>55</v>
      </c>
      <c r="H35" s="14">
        <v>55</v>
      </c>
      <c r="I35" s="5"/>
      <c r="J35" s="3" t="s">
        <v>159</v>
      </c>
      <c r="K35" s="3" t="s">
        <v>160</v>
      </c>
    </row>
    <row r="36" spans="1:11" ht="409.6" x14ac:dyDescent="0.3">
      <c r="A36" s="2" t="s">
        <v>155</v>
      </c>
      <c r="B36" s="2" t="s">
        <v>154</v>
      </c>
      <c r="C36" s="3" t="s">
        <v>156</v>
      </c>
      <c r="D36" s="2" t="s">
        <v>157</v>
      </c>
      <c r="E36" s="2" t="s">
        <v>158</v>
      </c>
      <c r="F36" s="8">
        <v>55</v>
      </c>
      <c r="G36" s="5">
        <v>96</v>
      </c>
      <c r="H36" s="14">
        <v>5.41</v>
      </c>
      <c r="I36" s="5"/>
      <c r="J36" s="3" t="s">
        <v>161</v>
      </c>
      <c r="K36" s="3" t="s">
        <v>162</v>
      </c>
    </row>
    <row r="37" spans="1:11" ht="403.2" x14ac:dyDescent="0.3">
      <c r="A37" s="2" t="s">
        <v>163</v>
      </c>
      <c r="B37" s="2" t="s">
        <v>65</v>
      </c>
      <c r="C37" s="3" t="s">
        <v>67</v>
      </c>
      <c r="D37" s="2" t="s">
        <v>41</v>
      </c>
      <c r="E37" s="2" t="s">
        <v>69</v>
      </c>
      <c r="F37" s="8">
        <v>44</v>
      </c>
      <c r="G37" s="5">
        <v>79</v>
      </c>
      <c r="H37" s="14">
        <v>17.46</v>
      </c>
      <c r="I37" s="5"/>
      <c r="J37" s="3" t="s">
        <v>164</v>
      </c>
      <c r="K37" s="3" t="s">
        <v>165</v>
      </c>
    </row>
    <row r="38" spans="1:11" ht="409.6" x14ac:dyDescent="0.3">
      <c r="A38" s="2" t="s">
        <v>166</v>
      </c>
      <c r="B38" s="2" t="s">
        <v>136</v>
      </c>
      <c r="C38" s="3" t="s">
        <v>127</v>
      </c>
      <c r="D38" s="2" t="s">
        <v>68</v>
      </c>
      <c r="E38" s="2" t="s">
        <v>129</v>
      </c>
      <c r="F38" s="6">
        <v>60</v>
      </c>
      <c r="G38" s="5">
        <v>93</v>
      </c>
      <c r="H38" s="14">
        <v>23.24</v>
      </c>
      <c r="I38" s="5"/>
      <c r="J38" s="3" t="s">
        <v>167</v>
      </c>
      <c r="K38" s="3" t="s">
        <v>138</v>
      </c>
    </row>
    <row r="39" spans="1:11" ht="100.8" x14ac:dyDescent="0.3">
      <c r="A39" s="2" t="s">
        <v>168</v>
      </c>
      <c r="B39" s="2" t="s">
        <v>11</v>
      </c>
      <c r="C39" s="3" t="s">
        <v>13</v>
      </c>
      <c r="D39" s="2" t="s">
        <v>41</v>
      </c>
      <c r="E39" s="2" t="s">
        <v>15</v>
      </c>
      <c r="F39" s="4">
        <v>87</v>
      </c>
      <c r="G39" s="5">
        <v>100</v>
      </c>
      <c r="H39" s="13">
        <v>69.45</v>
      </c>
      <c r="I39" s="5"/>
      <c r="J39" s="3" t="s">
        <v>169</v>
      </c>
      <c r="K39" s="3" t="s">
        <v>17</v>
      </c>
    </row>
    <row r="40" spans="1:11" ht="100.8" x14ac:dyDescent="0.3">
      <c r="A40" s="2" t="s">
        <v>170</v>
      </c>
      <c r="B40" s="2" t="s">
        <v>11</v>
      </c>
      <c r="C40" s="3" t="s">
        <v>13</v>
      </c>
      <c r="D40" s="2" t="s">
        <v>41</v>
      </c>
      <c r="E40" s="2" t="s">
        <v>15</v>
      </c>
      <c r="F40" s="4">
        <v>87</v>
      </c>
      <c r="G40" s="5">
        <v>100</v>
      </c>
      <c r="H40" s="13">
        <v>69.45</v>
      </c>
      <c r="I40" s="5"/>
      <c r="J40" s="3" t="s">
        <v>169</v>
      </c>
      <c r="K40" s="3" t="s">
        <v>17</v>
      </c>
    </row>
    <row r="41" spans="1:11" ht="403.2" x14ac:dyDescent="0.3">
      <c r="A41" s="2" t="s">
        <v>171</v>
      </c>
      <c r="B41" s="2" t="s">
        <v>72</v>
      </c>
      <c r="C41" s="3" t="s">
        <v>74</v>
      </c>
      <c r="D41" s="2" t="s">
        <v>41</v>
      </c>
      <c r="E41" s="2" t="s">
        <v>76</v>
      </c>
      <c r="F41" s="8">
        <v>55</v>
      </c>
      <c r="G41" s="5">
        <v>96</v>
      </c>
      <c r="H41" s="14">
        <v>5.41</v>
      </c>
      <c r="I41" s="5"/>
      <c r="J41" s="3" t="s">
        <v>172</v>
      </c>
      <c r="K41" s="3" t="s">
        <v>173</v>
      </c>
    </row>
    <row r="42" spans="1:11" ht="374.4" x14ac:dyDescent="0.3">
      <c r="A42" s="2" t="s">
        <v>174</v>
      </c>
      <c r="B42" s="2" t="s">
        <v>136</v>
      </c>
      <c r="C42" s="3" t="s">
        <v>127</v>
      </c>
      <c r="D42" s="2" t="s">
        <v>41</v>
      </c>
      <c r="E42" s="2" t="s">
        <v>129</v>
      </c>
      <c r="F42" s="6">
        <v>60</v>
      </c>
      <c r="G42" s="5">
        <v>93</v>
      </c>
      <c r="H42" s="14">
        <v>23.24</v>
      </c>
      <c r="I42" s="5"/>
      <c r="J42" s="3" t="s">
        <v>175</v>
      </c>
      <c r="K42" s="3" t="s">
        <v>176</v>
      </c>
    </row>
    <row r="43" spans="1:11" ht="345.6" x14ac:dyDescent="0.3">
      <c r="A43" s="2" t="s">
        <v>177</v>
      </c>
      <c r="B43" s="2" t="s">
        <v>98</v>
      </c>
      <c r="C43" s="3" t="s">
        <v>100</v>
      </c>
      <c r="D43" s="2" t="s">
        <v>41</v>
      </c>
      <c r="E43" s="2" t="s">
        <v>22</v>
      </c>
      <c r="F43" s="9">
        <v>71</v>
      </c>
      <c r="G43" s="5">
        <v>96</v>
      </c>
      <c r="H43" s="14">
        <v>40.76</v>
      </c>
      <c r="I43" s="5"/>
      <c r="J43" s="3" t="s">
        <v>178</v>
      </c>
      <c r="K43" s="3" t="s">
        <v>179</v>
      </c>
    </row>
    <row r="44" spans="1:11" ht="374.4" x14ac:dyDescent="0.3">
      <c r="A44" s="2" t="s">
        <v>180</v>
      </c>
      <c r="B44" s="2" t="s">
        <v>18</v>
      </c>
      <c r="C44" s="3" t="s">
        <v>20</v>
      </c>
      <c r="D44" s="2" t="s">
        <v>41</v>
      </c>
      <c r="E44" s="2" t="s">
        <v>22</v>
      </c>
      <c r="F44" s="6">
        <v>68</v>
      </c>
      <c r="G44" s="5">
        <v>88</v>
      </c>
      <c r="H44" s="14">
        <v>48.58</v>
      </c>
      <c r="I44" s="5"/>
      <c r="J44" s="3" t="s">
        <v>181</v>
      </c>
      <c r="K44" s="3" t="s">
        <v>182</v>
      </c>
    </row>
    <row r="45" spans="1:11" ht="273.60000000000002" x14ac:dyDescent="0.3">
      <c r="A45" s="2" t="s">
        <v>183</v>
      </c>
      <c r="B45" s="2" t="s">
        <v>55</v>
      </c>
      <c r="C45" s="3" t="s">
        <v>28</v>
      </c>
      <c r="D45" s="2" t="s">
        <v>41</v>
      </c>
      <c r="E45" s="2" t="s">
        <v>30</v>
      </c>
      <c r="F45" s="4">
        <v>86</v>
      </c>
      <c r="G45" s="5">
        <v>92</v>
      </c>
      <c r="H45" s="16">
        <v>79.5</v>
      </c>
      <c r="I45" s="5"/>
      <c r="J45" s="3" t="s">
        <v>184</v>
      </c>
      <c r="K45" s="3" t="s">
        <v>57</v>
      </c>
    </row>
    <row r="46" spans="1:11" ht="115.2" x14ac:dyDescent="0.3">
      <c r="A46" s="2" t="s">
        <v>185</v>
      </c>
      <c r="B46" s="2" t="s">
        <v>104</v>
      </c>
      <c r="C46" s="3" t="s">
        <v>105</v>
      </c>
      <c r="D46" s="2" t="s">
        <v>41</v>
      </c>
      <c r="E46" s="2" t="s">
        <v>107</v>
      </c>
      <c r="F46" s="4">
        <v>82</v>
      </c>
      <c r="G46" s="5">
        <v>95</v>
      </c>
      <c r="H46" s="13">
        <v>66.7</v>
      </c>
      <c r="I46" s="5"/>
      <c r="J46" s="3" t="s">
        <v>186</v>
      </c>
      <c r="K46" s="3" t="s">
        <v>109</v>
      </c>
    </row>
    <row r="47" spans="1:11" ht="403.2" x14ac:dyDescent="0.3">
      <c r="A47" s="2" t="s">
        <v>187</v>
      </c>
      <c r="B47" s="2" t="s">
        <v>47</v>
      </c>
      <c r="C47" s="3" t="s">
        <v>49</v>
      </c>
      <c r="D47" s="2" t="s">
        <v>41</v>
      </c>
      <c r="E47" s="2" t="s">
        <v>51</v>
      </c>
      <c r="F47" s="7">
        <v>94</v>
      </c>
      <c r="G47" s="5">
        <v>95</v>
      </c>
      <c r="H47" s="17">
        <v>92.82</v>
      </c>
      <c r="I47" s="5"/>
      <c r="J47" s="3" t="s">
        <v>188</v>
      </c>
      <c r="K47" s="3" t="s">
        <v>189</v>
      </c>
    </row>
    <row r="48" spans="1:11" x14ac:dyDescent="0.3">
      <c r="G48" s="5"/>
    </row>
    <row r="49" spans="1:7" ht="15.6" x14ac:dyDescent="0.3">
      <c r="A49" s="18" t="s">
        <v>190</v>
      </c>
      <c r="B49" s="19"/>
      <c r="C49" s="19"/>
      <c r="G49" s="5"/>
    </row>
    <row r="50" spans="1:7" x14ac:dyDescent="0.3">
      <c r="A50" s="10" t="s">
        <v>191</v>
      </c>
      <c r="B50">
        <v>46</v>
      </c>
      <c r="G50" s="5"/>
    </row>
    <row r="51" spans="1:7" x14ac:dyDescent="0.3">
      <c r="A51" s="10" t="s">
        <v>192</v>
      </c>
      <c r="B51" s="11">
        <f>AVERAGE(F2:F47)</f>
        <v>72.608695652173907</v>
      </c>
      <c r="G51" s="5"/>
    </row>
    <row r="52" spans="1:7" x14ac:dyDescent="0.3">
      <c r="A52" s="10" t="s">
        <v>193</v>
      </c>
      <c r="B52" s="12">
        <f>MAX(F2:F47)</f>
        <v>94</v>
      </c>
      <c r="G52" s="5"/>
    </row>
    <row r="53" spans="1:7" x14ac:dyDescent="0.3">
      <c r="A53" s="10" t="s">
        <v>194</v>
      </c>
      <c r="B53" s="12">
        <f>MIN(F2:F47)</f>
        <v>44</v>
      </c>
      <c r="G53" s="5"/>
    </row>
    <row r="54" spans="1:7" x14ac:dyDescent="0.3">
      <c r="A54" s="10" t="s">
        <v>195</v>
      </c>
      <c r="B54" s="12">
        <f>COUNTIF(F2:F47,"&gt;=60")/COUNT(F2:F47)</f>
        <v>0.82608695652173914</v>
      </c>
      <c r="G54" s="5"/>
    </row>
    <row r="55" spans="1:7" x14ac:dyDescent="0.3">
      <c r="A55" s="10" t="s">
        <v>196</v>
      </c>
      <c r="B55" s="12">
        <f>COUNTIF(F2:F47,"&gt;=90")</f>
        <v>3</v>
      </c>
      <c r="G55" s="5"/>
    </row>
    <row r="56" spans="1:7" x14ac:dyDescent="0.3">
      <c r="A56" s="10" t="s">
        <v>197</v>
      </c>
      <c r="B56" s="12">
        <f>COUNTIFS(F2:F47,"&gt;=80",F2:F47,"&lt;90")</f>
        <v>17</v>
      </c>
      <c r="G56" s="5"/>
    </row>
    <row r="57" spans="1:7" x14ac:dyDescent="0.3">
      <c r="A57" s="10" t="s">
        <v>198</v>
      </c>
      <c r="B57" s="12">
        <f>COUNTIFS(F2:F47,"&gt;=70",F2:F47,"&lt;80")</f>
        <v>3</v>
      </c>
      <c r="G57" s="5"/>
    </row>
    <row r="58" spans="1:7" x14ac:dyDescent="0.3">
      <c r="A58" s="10" t="s">
        <v>199</v>
      </c>
      <c r="B58" s="12">
        <f>COUNTIFS(F2:F47,"&gt;=60",F2:F47,"&lt;70")</f>
        <v>15</v>
      </c>
      <c r="G58" s="5"/>
    </row>
    <row r="59" spans="1:7" x14ac:dyDescent="0.3">
      <c r="A59" s="10" t="s">
        <v>200</v>
      </c>
      <c r="B59" s="12">
        <f>COUNTIF(F2:F47,"&lt;60")</f>
        <v>8</v>
      </c>
      <c r="G59" s="5"/>
    </row>
  </sheetData>
  <mergeCells count="1">
    <mergeCell ref="A49:C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3 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2025-12-01T21:40:28Z</dcterms:created>
  <dcterms:modified xsi:type="dcterms:W3CDTF">2025-12-02T15:18:54Z</dcterms:modified>
</cp:coreProperties>
</file>